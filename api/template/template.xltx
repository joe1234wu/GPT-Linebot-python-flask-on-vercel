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3"/>
  <workbookPr showInkAnnotation="0" defaultThemeVersion="124226"/>
  <mc:AlternateContent xmlns:mc="http://schemas.openxmlformats.org/markup-compatibility/2006">
    <mc:Choice Requires="x15">
      <x15ac:absPath xmlns:x15ac="http://schemas.microsoft.com/office/spreadsheetml/2010/11/ac" url="/Users/joewu/workspace/leader_project/"/>
    </mc:Choice>
  </mc:AlternateContent>
  <xr:revisionPtr revIDLastSave="0" documentId="13_ncr:40009_{3A55F4BE-1AE3-DA4C-95EE-7F08C2C61FB0}" xr6:coauthVersionLast="47" xr6:coauthVersionMax="47" xr10:uidLastSave="{00000000-0000-0000-0000-000000000000}"/>
  <bookViews>
    <workbookView xWindow="0" yWindow="760" windowWidth="34560" windowHeight="19880"/>
  </bookViews>
  <sheets>
    <sheet name="111.12" sheetId="76" r:id="rId1"/>
  </sheets>
  <definedNames>
    <definedName name="_xlnm.Print_Area" localSheetId="0">'111.12'!$A$1:$J$15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76" l="1"/>
  <c r="I11" i="76"/>
  <c r="I10" i="76"/>
  <c r="I13" i="76" l="1"/>
  <c r="I14" i="76" s="1"/>
  <c r="I15" i="76" s="1"/>
</calcChain>
</file>

<file path=xl/sharedStrings.xml><?xml version="1.0" encoding="utf-8"?>
<sst xmlns="http://schemas.openxmlformats.org/spreadsheetml/2006/main" count="27" uniqueCount="26">
  <si>
    <t>利璒電機工程有限公司</t>
    <phoneticPr fontId="2" type="noConversion"/>
  </si>
  <si>
    <t>電    話:  03-4834768.4839475</t>
    <phoneticPr fontId="2" type="noConversion"/>
  </si>
  <si>
    <t>行動電話:  0937-813-976</t>
    <phoneticPr fontId="2" type="noConversion"/>
  </si>
  <si>
    <t>傳    真:  03-4830529</t>
    <phoneticPr fontId="2" type="noConversion"/>
  </si>
  <si>
    <t>工程估價單</t>
    <phoneticPr fontId="2" type="noConversion"/>
  </si>
  <si>
    <t>地    址: 桃園縣觀音鄉大觀路二段291號</t>
    <phoneticPr fontId="2" type="noConversion"/>
  </si>
  <si>
    <t>項次</t>
    <phoneticPr fontId="2" type="noConversion"/>
  </si>
  <si>
    <t>項目</t>
    <phoneticPr fontId="2" type="noConversion"/>
  </si>
  <si>
    <t>數量</t>
    <phoneticPr fontId="2" type="noConversion"/>
  </si>
  <si>
    <t>單位</t>
    <phoneticPr fontId="2" type="noConversion"/>
  </si>
  <si>
    <t>單價</t>
    <phoneticPr fontId="2" type="noConversion"/>
  </si>
  <si>
    <t>金額</t>
    <phoneticPr fontId="2" type="noConversion"/>
  </si>
  <si>
    <t>式</t>
    <phoneticPr fontId="2" type="noConversion"/>
  </si>
  <si>
    <t>小計:</t>
    <phoneticPr fontId="2" type="noConversion"/>
  </si>
  <si>
    <t>稅金:</t>
    <phoneticPr fontId="2" type="noConversion"/>
  </si>
  <si>
    <t>總計:</t>
    <phoneticPr fontId="2" type="noConversion"/>
  </si>
  <si>
    <t>組</t>
    <phoneticPr fontId="2" type="noConversion"/>
  </si>
  <si>
    <t>訂製配電盤NFB</t>
    <phoneticPr fontId="2" type="noConversion"/>
  </si>
  <si>
    <t>主管線路</t>
    <phoneticPr fontId="2" type="noConversion"/>
  </si>
  <si>
    <t>換裝施工含配件</t>
    <phoneticPr fontId="2" type="noConversion"/>
  </si>
  <si>
    <t>估價單號:%DATEYYYYMMDD%01</t>
  </si>
  <si>
    <t>估價日期:%DATE_YYY.MM.DD%</t>
  </si>
  <si>
    <t>連絡電話: 03-4832310</t>
  </si>
  <si>
    <t>傳真號碼: 03-4831463      統一編號: 89396976</t>
  </si>
  <si>
    <t>客戶名稱: %CUSTOMER_NAME%</t>
  </si>
  <si>
    <t>工程名稱: %PROJECT_NAME%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</si>
</sst>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9" formatCode="_-* #,##0_-;\-* #,##0_-;_-* &quot;-&quot;_-;_-@_-"/>
    <numFmt numFmtId="171" formatCode="_-* #,##0.00_-;\-* #,##0.00_-;_-* &quot;-&quot;??_-;_-@_-"/>
    <numFmt numFmtId="176" formatCode="&quot;$&quot;#,##0"/>
    <numFmt numFmtId="180" formatCode="_-* #,##0_-;\-* #,##0_-;_-* &quot;-&quot;??_-;_-@_-"/>
  </numFmts>
  <fonts count="10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26"/>
      <name val="標楷體"/>
      <family val="4"/>
      <charset val="136"/>
    </font>
    <font>
      <sz val="12"/>
      <name val="標楷體"/>
      <family val="4"/>
      <charset val="136"/>
    </font>
    <font>
      <b/>
      <sz val="12"/>
      <name val="標楷體"/>
      <family val="4"/>
      <charset val="136"/>
    </font>
    <font>
      <sz val="20"/>
      <name val="標楷體"/>
      <family val="4"/>
      <charset val="136"/>
    </font>
    <font>
      <sz val="16"/>
      <name val="標楷體"/>
      <family val="4"/>
      <charset val="136"/>
    </font>
    <font>
      <b/>
      <sz val="16"/>
      <name val="標楷體"/>
      <family val="4"/>
      <charset val="136"/>
    </font>
    <font>
      <sz val="12"/>
      <name val="標楷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71" fontId="1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47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Alignment="1"/>
    <xf numFmtId="0" fontId="4" fillId="2" borderId="0" xfId="0" applyFont="1" applyFill="1" applyBorder="1"/>
    <xf numFmtId="0" fontId="0" fillId="2" borderId="0" xfId="0" applyFill="1"/>
    <xf numFmtId="0" fontId="5" fillId="2" borderId="0" xfId="0" applyFont="1" applyFill="1"/>
    <xf numFmtId="0" fontId="6" fillId="2" borderId="1" xfId="0" applyFont="1" applyFill="1" applyBorder="1" applyAlignment="1">
      <alignment horizontal="centerContinuous" vertical="top"/>
    </xf>
    <xf numFmtId="0" fontId="4" fillId="2" borderId="1" xfId="0" applyFont="1" applyFill="1" applyBorder="1" applyAlignment="1">
      <alignment horizontal="centerContinuous" vertical="top"/>
    </xf>
    <xf numFmtId="0" fontId="7" fillId="2" borderId="1" xfId="0" applyFont="1" applyFill="1" applyBorder="1" applyAlignment="1">
      <alignment horizontal="centerContinuous" vertical="top"/>
    </xf>
    <xf numFmtId="0" fontId="4" fillId="2" borderId="1" xfId="0" applyFont="1" applyFill="1" applyBorder="1" applyAlignment="1"/>
    <xf numFmtId="0" fontId="4" fillId="2" borderId="1" xfId="0" applyFont="1" applyFill="1" applyBorder="1" applyAlignment="1">
      <alignment vertical="top"/>
    </xf>
    <xf numFmtId="0" fontId="4" fillId="2" borderId="1" xfId="0" applyFont="1" applyFill="1" applyBorder="1"/>
    <xf numFmtId="0" fontId="0" fillId="2" borderId="1" xfId="0" applyFill="1" applyBorder="1"/>
    <xf numFmtId="0" fontId="7" fillId="2" borderId="0" xfId="0" applyFont="1" applyFill="1" applyBorder="1"/>
    <xf numFmtId="0" fontId="7" fillId="2" borderId="0" xfId="0" applyFont="1" applyFill="1"/>
    <xf numFmtId="0" fontId="7" fillId="2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Continuous" vertical="center"/>
    </xf>
    <xf numFmtId="0" fontId="0" fillId="2" borderId="2" xfId="0" applyFill="1" applyBorder="1"/>
    <xf numFmtId="0" fontId="7" fillId="2" borderId="3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centerContinuous" vertical="center"/>
    </xf>
    <xf numFmtId="169" fontId="7" fillId="2" borderId="3" xfId="2" applyFont="1" applyFill="1" applyBorder="1" applyAlignment="1">
      <alignment horizontal="right"/>
    </xf>
    <xf numFmtId="0" fontId="0" fillId="2" borderId="3" xfId="0" applyFill="1" applyBorder="1"/>
    <xf numFmtId="0" fontId="7" fillId="2" borderId="4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Continuous" vertical="center"/>
    </xf>
    <xf numFmtId="169" fontId="7" fillId="2" borderId="4" xfId="2" applyFont="1" applyFill="1" applyBorder="1" applyAlignment="1">
      <alignment horizontal="right"/>
    </xf>
    <xf numFmtId="0" fontId="0" fillId="2" borderId="4" xfId="0" applyFill="1" applyBorder="1"/>
    <xf numFmtId="0" fontId="7" fillId="2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centerContinuous" vertical="center"/>
    </xf>
    <xf numFmtId="169" fontId="7" fillId="2" borderId="6" xfId="2" applyFont="1" applyFill="1" applyBorder="1" applyAlignment="1">
      <alignment horizontal="right"/>
    </xf>
    <xf numFmtId="0" fontId="0" fillId="2" borderId="6" xfId="0" applyFill="1" applyBorder="1"/>
    <xf numFmtId="0" fontId="7" fillId="2" borderId="5" xfId="0" applyFont="1" applyFill="1" applyBorder="1" applyAlignment="1">
      <alignment horizontal="right"/>
    </xf>
    <xf numFmtId="0" fontId="7" fillId="2" borderId="5" xfId="0" applyFont="1" applyFill="1" applyBorder="1"/>
    <xf numFmtId="176" fontId="8" fillId="2" borderId="5" xfId="0" applyNumberFormat="1" applyFont="1" applyFill="1" applyBorder="1"/>
    <xf numFmtId="176" fontId="8" fillId="2" borderId="4" xfId="0" applyNumberFormat="1" applyFont="1" applyFill="1" applyBorder="1"/>
    <xf numFmtId="0" fontId="7" fillId="2" borderId="6" xfId="0" applyFont="1" applyFill="1" applyBorder="1" applyAlignment="1">
      <alignment horizontal="right"/>
    </xf>
    <xf numFmtId="0" fontId="7" fillId="2" borderId="6" xfId="0" applyFont="1" applyFill="1" applyBorder="1"/>
    <xf numFmtId="176" fontId="8" fillId="2" borderId="6" xfId="0" applyNumberFormat="1" applyFont="1" applyFill="1" applyBorder="1"/>
    <xf numFmtId="0" fontId="7" fillId="2" borderId="5" xfId="0" applyFont="1" applyFill="1" applyBorder="1" applyAlignment="1">
      <alignment horizontal="left" vertical="center"/>
    </xf>
    <xf numFmtId="180" fontId="8" fillId="2" borderId="5" xfId="1" applyNumberFormat="1" applyFont="1" applyFill="1" applyBorder="1"/>
    <xf numFmtId="180" fontId="8" fillId="2" borderId="6" xfId="1" applyNumberFormat="1" applyFont="1" applyFill="1" applyBorder="1"/>
    <xf numFmtId="180" fontId="8" fillId="2" borderId="4" xfId="1" applyNumberFormat="1" applyFont="1" applyFill="1" applyBorder="1"/>
    <xf numFmtId="0" fontId="9" fillId="2" borderId="0" xfId="0" applyFont="1" applyFill="1"/>
  </cellXfs>
  <cellStyles count="3">
    <cellStyle name="Comma" xfId="1" builtinId="3"/>
    <cellStyle name="Comma [0]" xfId="2" builtinId="6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tabSelected="1" workbookViewId="0">
      <selection activeCell="E9" sqref="E9"/>
    </sheetView>
  </sheetViews>
  <sheetFormatPr baseColWidth="10" defaultRowHeight="15"/>
  <cols>
    <col min="1" max="1" width="8.5" customWidth="1"/>
    <col min="2" max="4" width="8.83203125" customWidth="1"/>
    <col min="5" max="5" width="11.6640625" customWidth="1"/>
    <col min="6" max="6" width="8.83203125" customWidth="1"/>
    <col min="7" max="7" width="9.33203125" customWidth="1"/>
    <col min="8" max="8" width="15.6640625" customWidth="1"/>
    <col min="9" max="9" width="18" customWidth="1"/>
    <col min="10" max="10" width="2.33203125" customWidth="1"/>
    <col min="11" max="256" width="8.83203125" customWidth="1"/>
  </cols>
  <sheetData>
    <row r="1" spans="1:10" ht="31">
      <c r="A1" s="1" t="s">
        <v>0</v>
      </c>
      <c r="B1" s="2"/>
      <c r="C1" s="2"/>
      <c r="D1" s="2"/>
      <c r="E1" s="2"/>
      <c r="F1" s="3"/>
      <c r="G1" s="3" t="s">
        <v>1</v>
      </c>
      <c r="H1" s="3"/>
      <c r="I1" s="4"/>
      <c r="J1" s="5"/>
    </row>
    <row r="2" spans="1:10">
      <c r="A2" s="2"/>
      <c r="B2" s="2"/>
      <c r="C2" s="2"/>
      <c r="D2" s="2"/>
      <c r="E2" s="2"/>
      <c r="F2" s="6"/>
      <c r="G2" s="46" t="s">
        <v>2</v>
      </c>
      <c r="H2" s="2"/>
      <c r="I2" s="4"/>
      <c r="J2" s="5"/>
    </row>
    <row r="3" spans="1:10">
      <c r="A3" s="2"/>
      <c r="B3" s="2"/>
      <c r="C3" s="2"/>
      <c r="D3" s="2"/>
      <c r="E3" s="2"/>
      <c r="F3" s="2"/>
      <c r="G3" s="2" t="s">
        <v>3</v>
      </c>
      <c r="H3" s="2"/>
      <c r="I3" s="4"/>
      <c r="J3" s="5"/>
    </row>
    <row r="4" spans="1:10" ht="25" thickBot="1">
      <c r="A4" s="7" t="s">
        <v>4</v>
      </c>
      <c r="B4" s="8"/>
      <c r="C4" s="9"/>
      <c r="D4" s="8"/>
      <c r="E4" s="8"/>
      <c r="F4" s="10"/>
      <c r="G4" s="10" t="s">
        <v>5</v>
      </c>
      <c r="H4" s="11"/>
      <c r="I4" s="12"/>
      <c r="J4" s="13"/>
    </row>
    <row r="5" spans="1:10" ht="20">
      <c r="A5" s="14" t="s">
        <v>24</v>
      </c>
      <c r="B5" s="14"/>
      <c r="C5" s="14"/>
      <c r="D5" s="14"/>
      <c r="E5" s="14"/>
      <c r="F5" s="14"/>
      <c r="G5" s="5"/>
      <c r="H5" s="14" t="s">
        <v>21</v>
      </c>
      <c r="I5" s="14"/>
      <c r="J5" s="5"/>
    </row>
    <row r="6" spans="1:10" ht="20">
      <c r="A6" s="14" t="s">
        <v>25</v>
      </c>
      <c r="B6" s="15"/>
      <c r="C6" s="15"/>
      <c r="D6" s="15"/>
      <c r="E6" s="15"/>
      <c r="F6" s="15"/>
      <c r="G6" s="5"/>
      <c r="H6" s="15" t="s">
        <v>20</v>
      </c>
      <c r="I6" s="14"/>
      <c r="J6" s="5"/>
    </row>
    <row r="7" spans="1:10" ht="20">
      <c r="A7" s="14" t="s">
        <v>22</v>
      </c>
      <c r="B7" s="15"/>
      <c r="C7" s="15"/>
      <c r="D7" s="15"/>
      <c r="E7" s="15"/>
      <c r="F7" s="15"/>
      <c r="G7" s="15"/>
      <c r="H7" s="15"/>
      <c r="I7" s="14"/>
      <c r="J7" s="5"/>
    </row>
    <row r="8" spans="1:10" ht="21" thickBot="1">
      <c r="A8" s="14" t="s">
        <v>23</v>
      </c>
      <c r="B8" s="15"/>
      <c r="C8" s="15"/>
      <c r="D8" s="15"/>
      <c r="E8" s="15"/>
      <c r="F8" s="15"/>
      <c r="G8" s="15"/>
      <c r="H8" s="15"/>
      <c r="I8" s="14"/>
      <c r="J8" s="13"/>
    </row>
    <row r="9" spans="1:10" ht="21" thickBot="1">
      <c r="A9" s="16" t="s">
        <v>6</v>
      </c>
      <c r="B9" s="17" t="s">
        <v>7</v>
      </c>
      <c r="C9" s="17"/>
      <c r="D9" s="17"/>
      <c r="E9" s="17"/>
      <c r="F9" s="17" t="s">
        <v>8</v>
      </c>
      <c r="G9" s="16" t="s">
        <v>9</v>
      </c>
      <c r="H9" s="16" t="s">
        <v>10</v>
      </c>
      <c r="I9" s="16" t="s">
        <v>11</v>
      </c>
      <c r="J9" s="18"/>
    </row>
    <row r="10" spans="1:10" ht="20">
      <c r="A10" s="19">
        <v>1</v>
      </c>
      <c r="B10" s="20" t="s">
        <v>17</v>
      </c>
      <c r="C10" s="21"/>
      <c r="D10" s="21"/>
      <c r="E10" s="21"/>
      <c r="F10" s="21">
        <v>1</v>
      </c>
      <c r="G10" s="19" t="s">
        <v>16</v>
      </c>
      <c r="H10" s="22">
        <v>158500</v>
      </c>
      <c r="I10" s="22">
        <f>SUM(F10*H10)</f>
        <v>158500</v>
      </c>
      <c r="J10" s="23"/>
    </row>
    <row r="11" spans="1:10" ht="20">
      <c r="A11" s="24">
        <v>2</v>
      </c>
      <c r="B11" s="42" t="s">
        <v>18</v>
      </c>
      <c r="C11" s="25"/>
      <c r="D11" s="25"/>
      <c r="E11" s="25"/>
      <c r="F11" s="25">
        <v>1</v>
      </c>
      <c r="G11" s="24" t="s">
        <v>12</v>
      </c>
      <c r="H11" s="26">
        <v>133500</v>
      </c>
      <c r="I11" s="26">
        <f>SUM(F11*H11)</f>
        <v>133500</v>
      </c>
      <c r="J11" s="27"/>
    </row>
    <row r="12" spans="1:10" ht="21" thickBot="1">
      <c r="A12" s="30">
        <v>3</v>
      </c>
      <c r="B12" s="31" t="s">
        <v>19</v>
      </c>
      <c r="C12" s="32"/>
      <c r="D12" s="32"/>
      <c r="E12" s="32"/>
      <c r="F12" s="32">
        <v>1</v>
      </c>
      <c r="G12" s="30" t="s">
        <v>12</v>
      </c>
      <c r="H12" s="33">
        <v>32500</v>
      </c>
      <c r="I12" s="33">
        <f>SUM(F12*H12)</f>
        <v>32500</v>
      </c>
      <c r="J12" s="34"/>
    </row>
    <row r="13" spans="1:10" ht="20">
      <c r="A13" s="5"/>
      <c r="B13" s="5"/>
      <c r="C13" s="5"/>
      <c r="D13" s="5"/>
      <c r="E13" s="35" t="s">
        <v>13</v>
      </c>
      <c r="F13" s="36"/>
      <c r="G13" s="36"/>
      <c r="H13" s="37"/>
      <c r="I13" s="43">
        <f>SUM(I10:I12)</f>
        <v>324500</v>
      </c>
      <c r="J13" s="5"/>
    </row>
    <row r="14" spans="1:10" ht="20">
      <c r="A14" s="5"/>
      <c r="B14" s="5"/>
      <c r="C14" s="5"/>
      <c r="D14" s="5"/>
      <c r="E14" s="29" t="s">
        <v>14</v>
      </c>
      <c r="F14" s="28"/>
      <c r="G14" s="28"/>
      <c r="H14" s="38"/>
      <c r="I14" s="45">
        <f>SUM(I13*5%)</f>
        <v>16225</v>
      </c>
      <c r="J14" s="27"/>
    </row>
    <row r="15" spans="1:10" ht="21" thickBot="1">
      <c r="A15" s="5"/>
      <c r="B15" s="5"/>
      <c r="C15" s="5"/>
      <c r="D15" s="5"/>
      <c r="E15" s="39" t="s">
        <v>15</v>
      </c>
      <c r="F15" s="40"/>
      <c r="G15" s="40"/>
      <c r="H15" s="41"/>
      <c r="I15" s="44">
        <f>SUM(I14+I13)</f>
        <v>340725</v>
      </c>
      <c r="J15" s="34"/>
    </row>
  </sheetData>
  <phoneticPr fontId="2" type="noConversion"/>
  <printOptions horizontalCentered="1"/>
  <pageMargins left="0" right="0" top="0.74803149606299213" bottom="0.74803149606299213" header="0.31496062992125984" footer="0.31496062992125984"/>
  <pageSetup paperSize="9" orientation="portrait" horizontalDpi="360" verticalDpi="36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111.12</vt:lpstr>
      <vt:lpstr>'111.12'!Print_Area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Microsoft Office User</cp:lastModifiedBy>
  <cp:lastPrinted>2022-12-14T04:25:45Z</cp:lastPrinted>
  <dcterms:created xsi:type="dcterms:W3CDTF">1997-01-14T01:50:29Z</dcterms:created>
  <dcterms:modified xsi:type="dcterms:W3CDTF">2022-12-15T15:28:58Z</dcterms:modified>
</cp:coreProperties>
</file>